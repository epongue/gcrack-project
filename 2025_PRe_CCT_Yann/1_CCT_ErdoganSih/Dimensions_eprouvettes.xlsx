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ensions_eprouvet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<sst xmlns="http://schemas.openxmlformats.org/spreadsheetml/2006/main" count="53" uniqueCount="44">
  <si>
    <t xml:space="preserve">Angle in degree</t>
  </si>
  <si>
    <t xml:space="preserve">Virtual width in pixel</t>
  </si>
  <si>
    <t xml:space="preserve">Actual width in mm</t>
  </si>
  <si>
    <t xml:space="preserve">Actual width in m</t>
  </si>
  <si>
    <t xml:space="preserve">scale for converting virtual dimensions to real dimensions</t>
  </si>
  <si>
    <t xml:space="preserve">Virtual length in  pixel</t>
  </si>
  <si>
    <t xml:space="preserve">Actual length in  m</t>
  </si>
  <si>
    <t xml:space="preserve">x_pA1</t>
  </si>
  <si>
    <t xml:space="preserve">y_pA1</t>
  </si>
  <si>
    <t xml:space="preserve">x_pA2</t>
  </si>
  <si>
    <t xml:space="preserve">y_pA2</t>
  </si>
  <si>
    <t xml:space="preserve">x_pA3</t>
  </si>
  <si>
    <t xml:space="preserve">y_pA3</t>
  </si>
  <si>
    <t xml:space="preserve">x_pA4</t>
  </si>
  <si>
    <t xml:space="preserve">y_pA4</t>
  </si>
  <si>
    <t xml:space="preserve">x_centre</t>
  </si>
  <si>
    <t xml:space="preserve">y_centre</t>
  </si>
  <si>
    <t xml:space="preserve">a0 (mm)</t>
  </si>
  <si>
    <t xml:space="preserve">a0 (m)</t>
  </si>
  <si>
    <t xml:space="preserve">0_test1</t>
  </si>
  <si>
    <t xml:space="preserve">2.82</t>
  </si>
  <si>
    <t xml:space="preserve">5_test1</t>
  </si>
  <si>
    <t xml:space="preserve">2.9</t>
  </si>
  <si>
    <t xml:space="preserve">10_test1</t>
  </si>
  <si>
    <t xml:space="preserve">15_test1</t>
  </si>
  <si>
    <t xml:space="preserve">2.86</t>
  </si>
  <si>
    <t xml:space="preserve">20_test1</t>
  </si>
  <si>
    <t xml:space="preserve">2.89</t>
  </si>
  <si>
    <t xml:space="preserve">25_test1</t>
  </si>
  <si>
    <t xml:space="preserve">30_test1</t>
  </si>
  <si>
    <t xml:space="preserve">2.85</t>
  </si>
  <si>
    <t xml:space="preserve">35_test1</t>
  </si>
  <si>
    <t xml:space="preserve">2.91</t>
  </si>
  <si>
    <t xml:space="preserve">40_test1</t>
  </si>
  <si>
    <t xml:space="preserve">45_test1</t>
  </si>
  <si>
    <t xml:space="preserve">50_test1</t>
  </si>
  <si>
    <t xml:space="preserve">55_test1</t>
  </si>
  <si>
    <t xml:space="preserve">60_test1</t>
  </si>
  <si>
    <t xml:space="preserve">2.84</t>
  </si>
  <si>
    <t xml:space="preserve">65_test1</t>
  </si>
  <si>
    <t xml:space="preserve">2.87</t>
  </si>
  <si>
    <t xml:space="preserve">70_test1</t>
  </si>
  <si>
    <t xml:space="preserve">75_test1</t>
  </si>
  <si>
    <t xml:space="preserve">80_test1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</si>
</sst>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true" showOutlineSymbols="true" defaultGridColor="true" view="normal" topLeftCell="H1" colorId="64" zoomScale="106" zoomScaleNormal="106" zoomScalePageLayoutView="100" workbookViewId="0">
      <selection pane="topLeft" activeCell="S24" activeCellId="0" sqref="S24"/>
    </sheetView>
  </sheetViews>
  <sheetFormatPr defaultColWidth="10.59765625" defaultRowHeight="14.25" zeroHeight="false" outlineLevelRow="0" outlineLevelCol="0"/>
  <cols>
    <col collapsed="false" customWidth="true" hidden="false" outlineLevel="0" max="4" min="4" style="1" width="15.89"/>
    <col collapsed="false" customWidth="true" hidden="false" outlineLevel="0" max="5" min="5" style="1" width="12"/>
    <col collapsed="false" customWidth="true" hidden="false" outlineLevel="0" max="7" min="7" style="1" width="13.33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0" t="s">
        <v>17</v>
      </c>
      <c r="S1" s="3" t="s">
        <v>18</v>
      </c>
    </row>
    <row r="2" customFormat="false" ht="14.25" hidden="false" customHeight="false" outlineLevel="0" collapsed="false">
      <c r="A2" s="1" t="s">
        <v>19</v>
      </c>
      <c r="B2" s="1" t="n">
        <v>1263</v>
      </c>
      <c r="C2" s="1" t="n">
        <v>24.83</v>
      </c>
      <c r="D2" s="1" t="n">
        <f aca="false">C2/1000</f>
        <v>0.02483</v>
      </c>
      <c r="E2" s="1" t="n">
        <f aca="false">D2/B2</f>
        <v>1.96595407759303E-005</v>
      </c>
      <c r="F2" s="1" t="n">
        <v>3581</v>
      </c>
      <c r="G2" s="1" t="n">
        <f aca="false">F2*E2</f>
        <v>0.0704008155186065</v>
      </c>
      <c r="H2" s="1" t="n">
        <v>319</v>
      </c>
      <c r="I2" s="1" t="n">
        <v>-773</v>
      </c>
      <c r="J2" s="1" t="n">
        <f aca="false">H2</f>
        <v>319</v>
      </c>
      <c r="K2" s="1" t="n">
        <f aca="false">I2-B2</f>
        <v>-2036</v>
      </c>
      <c r="L2" s="1" t="n">
        <f aca="false">F2+H2</f>
        <v>3900</v>
      </c>
      <c r="M2" s="1" t="n">
        <f aca="false">I2</f>
        <v>-773</v>
      </c>
      <c r="N2" s="1" t="n">
        <f aca="false">L2</f>
        <v>3900</v>
      </c>
      <c r="O2" s="1" t="n">
        <f aca="false">K2</f>
        <v>-2036</v>
      </c>
      <c r="P2" s="1" t="n">
        <f aca="false">H2+(L2-H2)/2</f>
        <v>2109.5</v>
      </c>
      <c r="Q2" s="1" t="n">
        <f aca="false">I2+(O2-M2)/2</f>
        <v>-1404.5</v>
      </c>
      <c r="R2" s="0" t="s">
        <v>20</v>
      </c>
      <c r="S2" s="0" t="n">
        <f aca="false">R2/1000</f>
        <v>0.00282</v>
      </c>
    </row>
    <row r="3" customFormat="false" ht="14.25" hidden="false" customHeight="false" outlineLevel="0" collapsed="false">
      <c r="A3" s="1" t="s">
        <v>21</v>
      </c>
      <c r="B3" s="1" t="n">
        <v>1267</v>
      </c>
      <c r="C3" s="1" t="n">
        <v>24.99</v>
      </c>
      <c r="D3" s="1" t="n">
        <f aca="false">C3/1000</f>
        <v>0.02499</v>
      </c>
      <c r="E3" s="1" t="n">
        <f aca="false">D3/B3</f>
        <v>1.97237569060773E-005</v>
      </c>
      <c r="F3" s="1" t="n">
        <v>3572</v>
      </c>
      <c r="G3" s="1" t="n">
        <f aca="false">F3*E3</f>
        <v>0.0704532596685083</v>
      </c>
      <c r="H3" s="1" t="n">
        <v>343</v>
      </c>
      <c r="I3" s="1" t="n">
        <v>-771</v>
      </c>
      <c r="J3" s="1" t="n">
        <v>365</v>
      </c>
      <c r="K3" s="1" t="n">
        <v>-2029</v>
      </c>
      <c r="L3" s="1" t="n">
        <v>3912</v>
      </c>
      <c r="M3" s="1" t="n">
        <v>-741</v>
      </c>
      <c r="N3" s="1" t="n">
        <v>3925</v>
      </c>
      <c r="O3" s="1" t="n">
        <v>-2002</v>
      </c>
      <c r="P3" s="1" t="n">
        <f aca="false">H3+(L3-H3)/2</f>
        <v>2127.5</v>
      </c>
      <c r="Q3" s="1" t="n">
        <f aca="false">I3+(O3-M3)/2</f>
        <v>-1401.5</v>
      </c>
      <c r="R3" s="0" t="s">
        <v>22</v>
      </c>
      <c r="S3" s="0" t="n">
        <f aca="false">R3/1000</f>
        <v>0.0029</v>
      </c>
    </row>
    <row r="4" customFormat="false" ht="14.25" hidden="false" customHeight="false" outlineLevel="0" collapsed="false">
      <c r="A4" s="1" t="s">
        <v>23</v>
      </c>
      <c r="B4" s="1" t="n">
        <v>1263</v>
      </c>
      <c r="C4" s="1" t="n">
        <v>24.87</v>
      </c>
      <c r="D4" s="1" t="n">
        <f aca="false">C4/1000</f>
        <v>0.02487</v>
      </c>
      <c r="E4" s="1" t="n">
        <f aca="false">D4/B4</f>
        <v>1.96912114014252E-005</v>
      </c>
      <c r="F4" s="1" t="n">
        <v>3557</v>
      </c>
      <c r="G4" s="1" t="n">
        <f aca="false">F4*E4</f>
        <v>0.0700416389548694</v>
      </c>
      <c r="H4" s="1" t="n">
        <v>342</v>
      </c>
      <c r="I4" s="1" t="n">
        <v>-772</v>
      </c>
      <c r="J4" s="1" t="n">
        <f aca="false">H4</f>
        <v>342</v>
      </c>
      <c r="K4" s="1" t="n">
        <f aca="false">I4-B4</f>
        <v>-2035</v>
      </c>
      <c r="L4" s="1" t="n">
        <f aca="false">F4+H4</f>
        <v>3899</v>
      </c>
      <c r="M4" s="1" t="n">
        <f aca="false">I4</f>
        <v>-772</v>
      </c>
      <c r="N4" s="1" t="n">
        <f aca="false">L4</f>
        <v>3899</v>
      </c>
      <c r="O4" s="1" t="n">
        <f aca="false">K4</f>
        <v>-2035</v>
      </c>
      <c r="P4" s="1" t="n">
        <f aca="false">H4+(L4-H4)/2</f>
        <v>2120.5</v>
      </c>
      <c r="Q4" s="1" t="n">
        <f aca="false">I4+(O4-M4)/2</f>
        <v>-1403.5</v>
      </c>
      <c r="R4" s="0" t="s">
        <v>22</v>
      </c>
      <c r="S4" s="0" t="n">
        <f aca="false">R4/1000</f>
        <v>0.0029</v>
      </c>
    </row>
    <row r="5" customFormat="false" ht="14.25" hidden="false" customHeight="false" outlineLevel="0" collapsed="false">
      <c r="A5" s="1" t="s">
        <v>24</v>
      </c>
      <c r="B5" s="1" t="n">
        <v>1264</v>
      </c>
      <c r="C5" s="1" t="n">
        <v>24.89</v>
      </c>
      <c r="D5" s="1" t="n">
        <f aca="false">C5/1000</f>
        <v>0.02489</v>
      </c>
      <c r="E5" s="1" t="n">
        <f aca="false">D5/B5</f>
        <v>1.96914556962025E-005</v>
      </c>
      <c r="F5" s="1" t="n">
        <v>3572</v>
      </c>
      <c r="G5" s="1" t="n">
        <f aca="false">F5*E5</f>
        <v>0.0703378797468355</v>
      </c>
      <c r="H5" s="1" t="n">
        <v>349</v>
      </c>
      <c r="I5" s="1" t="n">
        <v>-772</v>
      </c>
      <c r="J5" s="1" t="n">
        <f aca="false">H5</f>
        <v>349</v>
      </c>
      <c r="K5" s="1" t="n">
        <f aca="false">I5-B5</f>
        <v>-2036</v>
      </c>
      <c r="L5" s="1" t="n">
        <f aca="false">F5+H5</f>
        <v>3921</v>
      </c>
      <c r="M5" s="1" t="n">
        <f aca="false">I5</f>
        <v>-772</v>
      </c>
      <c r="N5" s="1" t="n">
        <f aca="false">L5</f>
        <v>3921</v>
      </c>
      <c r="O5" s="1" t="n">
        <f aca="false">K5</f>
        <v>-2036</v>
      </c>
      <c r="P5" s="1" t="n">
        <f aca="false">H5+(L5-H5)/2</f>
        <v>2135</v>
      </c>
      <c r="Q5" s="1" t="n">
        <f aca="false">I5+(O5-M5)/2</f>
        <v>-1404</v>
      </c>
      <c r="R5" s="0" t="s">
        <v>25</v>
      </c>
      <c r="S5" s="0" t="n">
        <f aca="false">R5/1000</f>
        <v>0.00286</v>
      </c>
    </row>
    <row r="6" customFormat="false" ht="14.25" hidden="false" customHeight="false" outlineLevel="0" collapsed="false">
      <c r="A6" s="1" t="s">
        <v>26</v>
      </c>
      <c r="B6" s="1" t="n">
        <v>1267</v>
      </c>
      <c r="C6" s="1" t="n">
        <v>24.9</v>
      </c>
      <c r="D6" s="1" t="n">
        <f aca="false">C6/1000</f>
        <v>0.0249</v>
      </c>
      <c r="E6" s="1" t="n">
        <f aca="false">D6/B6</f>
        <v>1.96527229676401E-005</v>
      </c>
      <c r="F6" s="1" t="n">
        <v>3575</v>
      </c>
      <c r="G6" s="1" t="n">
        <f aca="false">F6*E6</f>
        <v>0.0702584846093133</v>
      </c>
      <c r="H6" s="1" t="n">
        <v>349</v>
      </c>
      <c r="I6" s="1" t="n">
        <v>-775</v>
      </c>
      <c r="J6" s="1" t="n">
        <f aca="false">H6</f>
        <v>349</v>
      </c>
      <c r="K6" s="1" t="n">
        <f aca="false">I6-B6</f>
        <v>-2042</v>
      </c>
      <c r="L6" s="1" t="n">
        <f aca="false">F6+H6</f>
        <v>3924</v>
      </c>
      <c r="M6" s="1" t="n">
        <f aca="false">I6</f>
        <v>-775</v>
      </c>
      <c r="N6" s="1" t="n">
        <f aca="false">L6</f>
        <v>3924</v>
      </c>
      <c r="O6" s="1" t="n">
        <f aca="false">K6</f>
        <v>-2042</v>
      </c>
      <c r="P6" s="1" t="n">
        <f aca="false">H6+(L6-H6)/2</f>
        <v>2136.5</v>
      </c>
      <c r="Q6" s="1" t="n">
        <f aca="false">I6+(O6-M6)/2</f>
        <v>-1408.5</v>
      </c>
      <c r="R6" s="0" t="s">
        <v>27</v>
      </c>
      <c r="S6" s="0" t="n">
        <f aca="false">R6/1000</f>
        <v>0.00289</v>
      </c>
    </row>
    <row r="7" customFormat="false" ht="14.25" hidden="false" customHeight="false" outlineLevel="0" collapsed="false">
      <c r="A7" s="1" t="s">
        <v>28</v>
      </c>
      <c r="B7" s="1" t="n">
        <v>1261</v>
      </c>
      <c r="C7" s="1" t="n">
        <v>24.84</v>
      </c>
      <c r="D7" s="1" t="n">
        <f aca="false">C7/1000</f>
        <v>0.02484</v>
      </c>
      <c r="E7" s="1" t="n">
        <f aca="false">D7/B7</f>
        <v>1.96986518636003E-005</v>
      </c>
      <c r="F7" s="1" t="n">
        <v>3562</v>
      </c>
      <c r="G7" s="1" t="n">
        <f aca="false">F7*E7</f>
        <v>0.0701665979381443</v>
      </c>
      <c r="H7" s="1" t="n">
        <v>349</v>
      </c>
      <c r="I7" s="1" t="n">
        <v>-774</v>
      </c>
      <c r="J7" s="1" t="n">
        <f aca="false">H7</f>
        <v>349</v>
      </c>
      <c r="K7" s="1" t="n">
        <f aca="false">I7-B7</f>
        <v>-2035</v>
      </c>
      <c r="L7" s="1" t="n">
        <f aca="false">F7+H7</f>
        <v>3911</v>
      </c>
      <c r="M7" s="1" t="n">
        <f aca="false">I7</f>
        <v>-774</v>
      </c>
      <c r="N7" s="1" t="n">
        <f aca="false">L7</f>
        <v>3911</v>
      </c>
      <c r="O7" s="1" t="n">
        <f aca="false">K7</f>
        <v>-2035</v>
      </c>
      <c r="P7" s="1" t="n">
        <f aca="false">H7+(L7-H7)/2</f>
        <v>2130</v>
      </c>
      <c r="Q7" s="1" t="n">
        <f aca="false">I7+(O7-M7)/2</f>
        <v>-1404.5</v>
      </c>
      <c r="R7" s="0" t="s">
        <v>27</v>
      </c>
      <c r="S7" s="0" t="n">
        <f aca="false">R7/1000</f>
        <v>0.00289</v>
      </c>
    </row>
    <row r="8" customFormat="false" ht="14.25" hidden="false" customHeight="false" outlineLevel="0" collapsed="false">
      <c r="A8" s="1" t="s">
        <v>29</v>
      </c>
      <c r="B8" s="1" t="n">
        <v>1268</v>
      </c>
      <c r="C8" s="1" t="n">
        <v>24.96</v>
      </c>
      <c r="D8" s="1" t="n">
        <f aca="false">C8/1000</f>
        <v>0.02496</v>
      </c>
      <c r="E8" s="1" t="n">
        <f aca="false">D8/B8</f>
        <v>1.96845425867508E-005</v>
      </c>
      <c r="F8" s="1" t="n">
        <v>3581</v>
      </c>
      <c r="G8" s="1" t="n">
        <f aca="false">F8*E8</f>
        <v>0.0704903470031546</v>
      </c>
      <c r="H8" s="1" t="n">
        <v>410</v>
      </c>
      <c r="I8" s="1" t="n">
        <v>-638</v>
      </c>
      <c r="J8" s="1" t="n">
        <f aca="false">H8</f>
        <v>410</v>
      </c>
      <c r="K8" s="1" t="n">
        <f aca="false">I8-B8</f>
        <v>-1906</v>
      </c>
      <c r="L8" s="1" t="n">
        <f aca="false">F8+H8</f>
        <v>3991</v>
      </c>
      <c r="M8" s="1" t="n">
        <f aca="false">I8</f>
        <v>-638</v>
      </c>
      <c r="N8" s="1" t="n">
        <f aca="false">L8</f>
        <v>3991</v>
      </c>
      <c r="O8" s="1" t="n">
        <f aca="false">K8</f>
        <v>-1906</v>
      </c>
      <c r="P8" s="1" t="n">
        <f aca="false">H8+(L8-H8)/2</f>
        <v>2200.5</v>
      </c>
      <c r="Q8" s="1" t="n">
        <f aca="false">I8+(O8-M8)/2</f>
        <v>-1272</v>
      </c>
      <c r="R8" s="0" t="s">
        <v>30</v>
      </c>
      <c r="S8" s="0" t="n">
        <f aca="false">R8/1000</f>
        <v>0.00285</v>
      </c>
    </row>
    <row r="9" customFormat="false" ht="14.25" hidden="false" customHeight="false" outlineLevel="0" collapsed="false">
      <c r="A9" s="1" t="s">
        <v>31</v>
      </c>
      <c r="B9" s="1" t="n">
        <v>1262</v>
      </c>
      <c r="C9" s="1" t="n">
        <v>24.84</v>
      </c>
      <c r="D9" s="1" t="n">
        <f aca="false">C9/1000</f>
        <v>0.02484</v>
      </c>
      <c r="E9" s="1" t="n">
        <f aca="false">D9/B9</f>
        <v>1.96830427892235E-005</v>
      </c>
      <c r="F9" s="1" t="n">
        <v>3569</v>
      </c>
      <c r="G9" s="1" t="n">
        <f aca="false">F9*E9</f>
        <v>0.0702487797147385</v>
      </c>
      <c r="H9" s="1" t="n">
        <v>347</v>
      </c>
      <c r="I9" s="1" t="n">
        <v>-775</v>
      </c>
      <c r="J9" s="1" t="n">
        <f aca="false">H9</f>
        <v>347</v>
      </c>
      <c r="K9" s="1" t="n">
        <f aca="false">I9-B9</f>
        <v>-2037</v>
      </c>
      <c r="L9" s="1" t="n">
        <f aca="false">F9+H9</f>
        <v>3916</v>
      </c>
      <c r="M9" s="1" t="n">
        <f aca="false">I9</f>
        <v>-775</v>
      </c>
      <c r="N9" s="1" t="n">
        <f aca="false">L9</f>
        <v>3916</v>
      </c>
      <c r="O9" s="1" t="n">
        <f aca="false">K9</f>
        <v>-2037</v>
      </c>
      <c r="P9" s="1" t="n">
        <f aca="false">H9+(L9-H9)/2</f>
        <v>2131.5</v>
      </c>
      <c r="Q9" s="1" t="n">
        <f aca="false">I9+(O9-M9)/2</f>
        <v>-1406</v>
      </c>
      <c r="R9" s="0" t="s">
        <v>32</v>
      </c>
      <c r="S9" s="0" t="n">
        <f aca="false">R9/1000</f>
        <v>0.00291</v>
      </c>
    </row>
    <row r="10" customFormat="false" ht="14.25" hidden="false" customHeight="false" outlineLevel="0" collapsed="false">
      <c r="A10" s="1" t="s">
        <v>33</v>
      </c>
      <c r="B10" s="1" t="n">
        <v>1259</v>
      </c>
      <c r="C10" s="1" t="n">
        <v>24.78</v>
      </c>
      <c r="D10" s="1" t="n">
        <f aca="false">C10/1000</f>
        <v>0.02478</v>
      </c>
      <c r="E10" s="1" t="n">
        <f aca="false">D10/B10</f>
        <v>1.96822875297855E-005</v>
      </c>
      <c r="F10" s="1" t="n">
        <v>3577</v>
      </c>
      <c r="G10" s="1" t="n">
        <f aca="false">F10*E10</f>
        <v>0.0704035424940429</v>
      </c>
      <c r="H10" s="1" t="n">
        <v>349</v>
      </c>
      <c r="I10" s="1" t="n">
        <v>-772</v>
      </c>
      <c r="J10" s="1" t="n">
        <f aca="false">H10</f>
        <v>349</v>
      </c>
      <c r="K10" s="1" t="n">
        <f aca="false">I10-B10</f>
        <v>-2031</v>
      </c>
      <c r="L10" s="1" t="n">
        <f aca="false">F10+H10</f>
        <v>3926</v>
      </c>
      <c r="M10" s="1" t="n">
        <f aca="false">I10</f>
        <v>-772</v>
      </c>
      <c r="N10" s="1" t="n">
        <f aca="false">L10</f>
        <v>3926</v>
      </c>
      <c r="O10" s="1" t="n">
        <f aca="false">K10</f>
        <v>-2031</v>
      </c>
      <c r="P10" s="1" t="n">
        <f aca="false">H10+(L10-H10)/2</f>
        <v>2137.5</v>
      </c>
      <c r="Q10" s="1" t="n">
        <f aca="false">I10+(O10-M10)/2</f>
        <v>-1401.5</v>
      </c>
      <c r="R10" s="0" t="s">
        <v>32</v>
      </c>
      <c r="S10" s="0" t="n">
        <f aca="false">R10/1000</f>
        <v>0.00291</v>
      </c>
    </row>
    <row r="11" customFormat="false" ht="14.25" hidden="false" customHeight="false" outlineLevel="0" collapsed="false">
      <c r="A11" s="1" t="s">
        <v>34</v>
      </c>
      <c r="B11" s="1" t="n">
        <v>1279</v>
      </c>
      <c r="C11" s="1" t="n">
        <v>24.95</v>
      </c>
      <c r="D11" s="1" t="n">
        <f aca="false">C11/1000</f>
        <v>0.02495</v>
      </c>
      <c r="E11" s="1" t="n">
        <f aca="false">D11/B11</f>
        <v>1.95074276778733E-005</v>
      </c>
      <c r="F11" s="1" t="n">
        <v>3604</v>
      </c>
      <c r="G11" s="1" t="n">
        <f aca="false">F11*E11</f>
        <v>0.0703047693510555</v>
      </c>
      <c r="H11" s="1" t="n">
        <v>339</v>
      </c>
      <c r="I11" s="1" t="n">
        <v>-772</v>
      </c>
      <c r="J11" s="1" t="n">
        <f aca="false">H11</f>
        <v>339</v>
      </c>
      <c r="K11" s="1" t="n">
        <f aca="false">I11-B11</f>
        <v>-2051</v>
      </c>
      <c r="L11" s="1" t="n">
        <f aca="false">F11+H11</f>
        <v>3943</v>
      </c>
      <c r="M11" s="1" t="n">
        <f aca="false">I11</f>
        <v>-772</v>
      </c>
      <c r="N11" s="1" t="n">
        <f aca="false">L11</f>
        <v>3943</v>
      </c>
      <c r="O11" s="1" t="n">
        <f aca="false">K11</f>
        <v>-2051</v>
      </c>
      <c r="P11" s="1" t="n">
        <f aca="false">H11+(L11-H11)/2</f>
        <v>2141</v>
      </c>
      <c r="Q11" s="1" t="n">
        <f aca="false">I11+(O11-M11)/2</f>
        <v>-1411.5</v>
      </c>
      <c r="R11" s="0" t="s">
        <v>25</v>
      </c>
      <c r="S11" s="0" t="n">
        <f aca="false">R11/1000</f>
        <v>0.00286</v>
      </c>
    </row>
    <row r="12" customFormat="false" ht="14.25" hidden="false" customHeight="false" outlineLevel="0" collapsed="false">
      <c r="A12" s="1" t="s">
        <v>35</v>
      </c>
      <c r="B12" s="1" t="n">
        <v>1259</v>
      </c>
      <c r="C12" s="1" t="n">
        <v>24.8</v>
      </c>
      <c r="D12" s="1" t="n">
        <f aca="false">C12/1000</f>
        <v>0.0248</v>
      </c>
      <c r="E12" s="1" t="n">
        <f aca="false">D12/B12</f>
        <v>1.96981731532963E-005</v>
      </c>
      <c r="F12" s="1" t="n">
        <v>3579</v>
      </c>
      <c r="G12" s="1" t="n">
        <f aca="false">F12*E12</f>
        <v>0.0704997617156473</v>
      </c>
      <c r="H12" s="1" t="n">
        <v>348</v>
      </c>
      <c r="I12" s="1" t="n">
        <v>-769</v>
      </c>
      <c r="J12" s="1" t="n">
        <f aca="false">H12</f>
        <v>348</v>
      </c>
      <c r="K12" s="1" t="n">
        <f aca="false">I12-B12</f>
        <v>-2028</v>
      </c>
      <c r="L12" s="1" t="n">
        <f aca="false">F12+H12</f>
        <v>3927</v>
      </c>
      <c r="M12" s="1" t="n">
        <f aca="false">I12</f>
        <v>-769</v>
      </c>
      <c r="N12" s="1" t="n">
        <f aca="false">L12</f>
        <v>3927</v>
      </c>
      <c r="O12" s="1" t="n">
        <f aca="false">K12</f>
        <v>-2028</v>
      </c>
      <c r="P12" s="1" t="n">
        <f aca="false">H12+(L12-H12)/2</f>
        <v>2137.5</v>
      </c>
      <c r="Q12" s="1" t="n">
        <f aca="false">I12+(O12-M12)/2</f>
        <v>-1398.5</v>
      </c>
      <c r="R12" s="0" t="s">
        <v>32</v>
      </c>
      <c r="S12" s="0" t="n">
        <f aca="false">R12/1000</f>
        <v>0.00291</v>
      </c>
    </row>
    <row r="13" customFormat="false" ht="14.25" hidden="false" customHeight="false" outlineLevel="0" collapsed="false">
      <c r="A13" s="1" t="s">
        <v>36</v>
      </c>
      <c r="B13" s="1" t="n">
        <v>1260</v>
      </c>
      <c r="C13" s="1" t="n">
        <v>24.8</v>
      </c>
      <c r="D13" s="1" t="n">
        <f aca="false">C13/1000</f>
        <v>0.0248</v>
      </c>
      <c r="E13" s="1" t="n">
        <f aca="false">D13/B13</f>
        <v>1.96825396825397E-005</v>
      </c>
      <c r="F13" s="1" t="n">
        <v>3577</v>
      </c>
      <c r="G13" s="1" t="n">
        <f aca="false">F13*E13</f>
        <v>0.0704044444444444</v>
      </c>
      <c r="H13" s="1" t="n">
        <v>352</v>
      </c>
      <c r="I13" s="1" t="n">
        <v>-768</v>
      </c>
      <c r="J13" s="1" t="n">
        <f aca="false">H13</f>
        <v>352</v>
      </c>
      <c r="K13" s="1" t="n">
        <f aca="false">I13-B13</f>
        <v>-2028</v>
      </c>
      <c r="L13" s="1" t="n">
        <f aca="false">F13+H13</f>
        <v>3929</v>
      </c>
      <c r="M13" s="1" t="n">
        <f aca="false">I13</f>
        <v>-768</v>
      </c>
      <c r="N13" s="1" t="n">
        <f aca="false">L13</f>
        <v>3929</v>
      </c>
      <c r="O13" s="1" t="n">
        <f aca="false">K13</f>
        <v>-2028</v>
      </c>
      <c r="P13" s="1" t="n">
        <f aca="false">H13+(L13-H13)/2</f>
        <v>2140.5</v>
      </c>
      <c r="Q13" s="1" t="n">
        <f aca="false">I13+(O13-M13)/2</f>
        <v>-1398</v>
      </c>
      <c r="R13" s="0" t="s">
        <v>32</v>
      </c>
      <c r="S13" s="0" t="n">
        <f aca="false">R13/1000</f>
        <v>0.00291</v>
      </c>
    </row>
    <row r="14" customFormat="false" ht="14.25" hidden="false" customHeight="false" outlineLevel="0" collapsed="false">
      <c r="A14" s="1" t="s">
        <v>37</v>
      </c>
      <c r="B14" s="1" t="n">
        <v>1272</v>
      </c>
      <c r="C14" s="1" t="n">
        <v>24.81</v>
      </c>
      <c r="D14" s="1" t="n">
        <f aca="false">C14/1000</f>
        <v>0.02481</v>
      </c>
      <c r="E14" s="1" t="n">
        <f aca="false">D14/B14</f>
        <v>1.95047169811321E-005</v>
      </c>
      <c r="F14" s="1" t="n">
        <v>3597</v>
      </c>
      <c r="G14" s="1" t="n">
        <f aca="false">F14*E14</f>
        <v>0.0701584669811321</v>
      </c>
      <c r="H14" s="1" t="n">
        <v>323</v>
      </c>
      <c r="I14" s="1" t="n">
        <v>-780</v>
      </c>
      <c r="J14" s="1" t="n">
        <f aca="false">H14</f>
        <v>323</v>
      </c>
      <c r="K14" s="1" t="n">
        <f aca="false">I14-B14</f>
        <v>-2052</v>
      </c>
      <c r="L14" s="1" t="n">
        <f aca="false">F14+H14</f>
        <v>3920</v>
      </c>
      <c r="M14" s="1" t="n">
        <f aca="false">I14</f>
        <v>-780</v>
      </c>
      <c r="N14" s="1" t="n">
        <f aca="false">L14</f>
        <v>3920</v>
      </c>
      <c r="O14" s="1" t="n">
        <f aca="false">K14</f>
        <v>-2052</v>
      </c>
      <c r="P14" s="1" t="n">
        <f aca="false">H14+(L14-H14)/2</f>
        <v>2121.5</v>
      </c>
      <c r="Q14" s="1" t="n">
        <f aca="false">I14+(O14-M14)/2</f>
        <v>-1416</v>
      </c>
      <c r="R14" s="0" t="s">
        <v>38</v>
      </c>
      <c r="S14" s="0" t="n">
        <f aca="false">R14/1000</f>
        <v>0.00284</v>
      </c>
    </row>
    <row r="15" customFormat="false" ht="14.25" hidden="false" customHeight="false" outlineLevel="0" collapsed="false">
      <c r="A15" s="1" t="s">
        <v>39</v>
      </c>
      <c r="B15" s="1" t="n">
        <v>1269</v>
      </c>
      <c r="C15" s="1" t="n">
        <v>24.95</v>
      </c>
      <c r="D15" s="1" t="n">
        <f aca="false">C15/1000</f>
        <v>0.02495</v>
      </c>
      <c r="E15" s="1" t="n">
        <f aca="false">D15/B15</f>
        <v>1.96611505122143E-005</v>
      </c>
      <c r="F15" s="1" t="n">
        <v>3561</v>
      </c>
      <c r="G15" s="1" t="n">
        <f aca="false">F15*E15</f>
        <v>0.0700133569739953</v>
      </c>
      <c r="H15" s="1" t="n">
        <v>408</v>
      </c>
      <c r="I15" s="1" t="n">
        <v>-678</v>
      </c>
      <c r="J15" s="1" t="n">
        <f aca="false">H15</f>
        <v>408</v>
      </c>
      <c r="K15" s="1" t="n">
        <f aca="false">I15-B15</f>
        <v>-1947</v>
      </c>
      <c r="L15" s="1" t="n">
        <f aca="false">F15+H15</f>
        <v>3969</v>
      </c>
      <c r="M15" s="1" t="n">
        <f aca="false">I15</f>
        <v>-678</v>
      </c>
      <c r="N15" s="1" t="n">
        <f aca="false">L15</f>
        <v>3969</v>
      </c>
      <c r="O15" s="1" t="n">
        <f aca="false">K15</f>
        <v>-1947</v>
      </c>
      <c r="P15" s="1" t="n">
        <f aca="false">H15+(L15-H15)/2</f>
        <v>2188.5</v>
      </c>
      <c r="Q15" s="1" t="n">
        <f aca="false">I15+(O15-M15)/2</f>
        <v>-1312.5</v>
      </c>
      <c r="R15" s="0" t="s">
        <v>40</v>
      </c>
      <c r="S15" s="0" t="n">
        <f aca="false">R15/1000</f>
        <v>0.00287</v>
      </c>
    </row>
    <row r="16" customFormat="false" ht="14.25" hidden="false" customHeight="false" outlineLevel="0" collapsed="false">
      <c r="A16" s="1" t="s">
        <v>41</v>
      </c>
      <c r="B16" s="1" t="n">
        <v>1271</v>
      </c>
      <c r="C16" s="1" t="n">
        <v>24.85</v>
      </c>
      <c r="D16" s="1" t="n">
        <f aca="false">C16/1000</f>
        <v>0.02485</v>
      </c>
      <c r="E16" s="1" t="n">
        <f aca="false">D16/B16</f>
        <v>1.95515342250197E-005</v>
      </c>
      <c r="F16" s="1" t="n">
        <v>3597</v>
      </c>
      <c r="G16" s="1" t="n">
        <f aca="false">F16*E16</f>
        <v>0.0703268686073958</v>
      </c>
      <c r="H16" s="1" t="n">
        <v>252</v>
      </c>
      <c r="I16" s="1" t="n">
        <v>-805</v>
      </c>
      <c r="J16" s="1" t="n">
        <f aca="false">H16</f>
        <v>252</v>
      </c>
      <c r="K16" s="1" t="n">
        <f aca="false">I16-B16</f>
        <v>-2076</v>
      </c>
      <c r="L16" s="1" t="n">
        <f aca="false">F16+H16</f>
        <v>3849</v>
      </c>
      <c r="M16" s="1" t="n">
        <f aca="false">I16</f>
        <v>-805</v>
      </c>
      <c r="N16" s="1" t="n">
        <f aca="false">L16</f>
        <v>3849</v>
      </c>
      <c r="O16" s="1" t="n">
        <f aca="false">K16</f>
        <v>-2076</v>
      </c>
      <c r="P16" s="1" t="n">
        <f aca="false">H16+(L16-H16)/2</f>
        <v>2050.5</v>
      </c>
      <c r="Q16" s="1" t="n">
        <f aca="false">I16+(O16-M16)/2</f>
        <v>-1440.5</v>
      </c>
      <c r="R16" s="0" t="s">
        <v>40</v>
      </c>
      <c r="S16" s="0" t="n">
        <f aca="false">R16/1000</f>
        <v>0.00287</v>
      </c>
    </row>
    <row r="17" customFormat="false" ht="14.25" hidden="false" customHeight="false" outlineLevel="0" collapsed="false">
      <c r="A17" s="1" t="s">
        <v>42</v>
      </c>
      <c r="B17" s="1" t="n">
        <v>1269</v>
      </c>
      <c r="C17" s="1" t="n">
        <v>24.81</v>
      </c>
      <c r="D17" s="1" t="n">
        <f aca="false">C17/1000</f>
        <v>0.02481</v>
      </c>
      <c r="E17" s="1" t="n">
        <f aca="false">D17/B17</f>
        <v>1.95508274231678E-005</v>
      </c>
      <c r="F17" s="1" t="n">
        <v>3595</v>
      </c>
      <c r="G17" s="1" t="n">
        <f aca="false">F17*E17</f>
        <v>0.0702852245862884</v>
      </c>
      <c r="H17" s="1" t="n">
        <v>250</v>
      </c>
      <c r="I17" s="1" t="n">
        <v>-806</v>
      </c>
      <c r="J17" s="1" t="n">
        <f aca="false">H17</f>
        <v>250</v>
      </c>
      <c r="K17" s="1" t="n">
        <f aca="false">I17-B17</f>
        <v>-2075</v>
      </c>
      <c r="L17" s="1" t="n">
        <f aca="false">F17+H17</f>
        <v>3845</v>
      </c>
      <c r="M17" s="1" t="n">
        <f aca="false">I17</f>
        <v>-806</v>
      </c>
      <c r="N17" s="1" t="n">
        <f aca="false">L17</f>
        <v>3845</v>
      </c>
      <c r="O17" s="1" t="n">
        <f aca="false">K17</f>
        <v>-2075</v>
      </c>
      <c r="P17" s="1" t="n">
        <f aca="false">H17+(L17-H17)/2</f>
        <v>2047.5</v>
      </c>
      <c r="Q17" s="1" t="n">
        <f aca="false">I17+(O17-M17)/2</f>
        <v>-1440.5</v>
      </c>
      <c r="R17" s="0" t="s">
        <v>30</v>
      </c>
      <c r="S17" s="0" t="n">
        <f aca="false">R17/1000</f>
        <v>0.00285</v>
      </c>
    </row>
    <row r="18" customFormat="false" ht="14.25" hidden="false" customHeight="false" outlineLevel="0" collapsed="false">
      <c r="A18" s="1" t="s">
        <v>43</v>
      </c>
      <c r="B18" s="1" t="n">
        <v>1270</v>
      </c>
      <c r="C18" s="1" t="n">
        <v>24.78</v>
      </c>
      <c r="D18" s="1" t="n">
        <f aca="false">C18/1000</f>
        <v>0.02478</v>
      </c>
      <c r="E18" s="1" t="n">
        <f aca="false">D18/B18</f>
        <v>1.9511811023622E-005</v>
      </c>
      <c r="F18" s="1" t="n">
        <v>3598</v>
      </c>
      <c r="G18" s="1" t="n">
        <f aca="false">F18*E18</f>
        <v>0.0702034960629921</v>
      </c>
      <c r="H18" s="1" t="n">
        <v>249</v>
      </c>
      <c r="I18" s="1" t="n">
        <v>-804</v>
      </c>
      <c r="J18" s="1" t="n">
        <v>271</v>
      </c>
      <c r="K18" s="1" t="n">
        <v>-2062</v>
      </c>
      <c r="L18" s="1" t="n">
        <v>3848</v>
      </c>
      <c r="M18" s="1" t="n">
        <v>-765</v>
      </c>
      <c r="N18" s="1" t="n">
        <v>3848</v>
      </c>
      <c r="O18" s="1" t="n">
        <v>-2031</v>
      </c>
      <c r="P18" s="1" t="n">
        <v>2055</v>
      </c>
      <c r="Q18" s="1" t="n">
        <v>-1420</v>
      </c>
      <c r="R18" s="0" t="s">
        <v>40</v>
      </c>
      <c r="S18" s="0" t="n">
        <f aca="false">R18/1000</f>
        <v>0.00287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2025-05-27T08:19:19Z</dcterms:created>
  <dc:creator>Yann EPONGUE</dc:creator>
  <dc:description/>
  <dc:language>en-US</dc:language>
  <cp:lastModifiedBy/>
  <dcterms:modified xsi:type="dcterms:W3CDTF">2025-06-16T07:55:23Z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